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9696\Desktop\"/>
    </mc:Choice>
  </mc:AlternateContent>
  <xr:revisionPtr revIDLastSave="0" documentId="8_{8098247F-FE65-470E-9434-315EAE98C8DD}" xr6:coauthVersionLast="47" xr6:coauthVersionMax="47" xr10:uidLastSave="{00000000-0000-0000-0000-000000000000}"/>
  <bookViews>
    <workbookView xWindow="-120" yWindow="-120" windowWidth="29040" windowHeight="17520" activeTab="1" xr2:uid="{193C2899-C357-4C45-AD48-9E1FEB54B64D}"/>
  </bookViews>
  <sheets>
    <sheet name="Exemplo" sheetId="1" r:id="rId1"/>
    <sheet name="Exercício alturas" sheetId="2" r:id="rId2"/>
  </sheets>
  <definedNames>
    <definedName name="_xlchart.v1.0" hidden="1">'Exercício alturas'!$B$4:$B$66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2" l="1"/>
  <c r="I17" i="2"/>
  <c r="I16" i="2"/>
  <c r="I15" i="2"/>
  <c r="I14" i="2"/>
  <c r="I13" i="2"/>
  <c r="I12" i="2"/>
  <c r="R6" i="2"/>
  <c r="R7" i="2" s="1"/>
  <c r="R5" i="2"/>
  <c r="P4" i="2"/>
  <c r="L30" i="1"/>
  <c r="K34" i="1"/>
  <c r="K33" i="1"/>
  <c r="K32" i="1"/>
  <c r="K31" i="1"/>
  <c r="K30" i="1"/>
  <c r="J30" i="1"/>
  <c r="L31" i="1"/>
  <c r="L32" i="1"/>
  <c r="L33" i="1"/>
  <c r="L34" i="1"/>
  <c r="L35" i="1"/>
  <c r="K35" i="1"/>
  <c r="J31" i="1"/>
  <c r="J32" i="1"/>
  <c r="J33" i="1"/>
  <c r="J34" i="1"/>
  <c r="J35" i="1"/>
  <c r="I30" i="1" a="1"/>
  <c r="H30" i="1"/>
  <c r="H31" i="1"/>
  <c r="H32" i="1"/>
  <c r="H33" i="1"/>
  <c r="H34" i="1"/>
  <c r="H35" i="1"/>
  <c r="I26" i="1"/>
  <c r="I25" i="1"/>
  <c r="I24" i="1"/>
  <c r="G27" i="1"/>
  <c r="I3" i="2" l="1"/>
  <c r="K3" i="2" s="1" a="1"/>
  <c r="K7" i="2" s="1"/>
  <c r="I5" i="2"/>
  <c r="I8" i="2"/>
  <c r="I4" i="2"/>
  <c r="I6" i="2"/>
  <c r="I9" i="2"/>
  <c r="I7" i="2"/>
  <c r="I30" i="1"/>
  <c r="I34" i="1"/>
  <c r="I35" i="1"/>
  <c r="I31" i="1"/>
  <c r="I33" i="1"/>
  <c r="I32" i="1"/>
  <c r="L7" i="2" l="1"/>
  <c r="K9" i="2"/>
  <c r="K6" i="2"/>
  <c r="K8" i="2"/>
  <c r="K5" i="2"/>
  <c r="K3" i="2"/>
  <c r="K4" i="2"/>
  <c r="L9" i="2" l="1"/>
  <c r="L4" i="2"/>
  <c r="L6" i="2"/>
  <c r="M3" i="2"/>
  <c r="N3" i="2" s="1"/>
  <c r="L3" i="2"/>
  <c r="L5" i="2"/>
  <c r="L8" i="2"/>
  <c r="M4" i="2" l="1"/>
  <c r="N4" i="2" l="1"/>
  <c r="M5" i="2"/>
  <c r="N5" i="2" l="1"/>
  <c r="M6" i="2"/>
  <c r="N6" i="2" l="1"/>
  <c r="M7" i="2"/>
  <c r="N7" i="2" l="1"/>
  <c r="M8" i="2"/>
  <c r="N8" i="2" l="1"/>
  <c r="M9" i="2"/>
  <c r="N9" i="2" s="1"/>
</calcChain>
</file>

<file path=xl/sharedStrings.xml><?xml version="1.0" encoding="utf-8"?>
<sst xmlns="http://schemas.openxmlformats.org/spreadsheetml/2006/main" count="51" uniqueCount="38">
  <si>
    <t>Amplitude da classe</t>
  </si>
  <si>
    <t>n=</t>
  </si>
  <si>
    <t>Amplitude amostral (H)</t>
  </si>
  <si>
    <t>Quantidade de classes (K)</t>
  </si>
  <si>
    <t xml:space="preserve">Classes </t>
  </si>
  <si>
    <t>fs</t>
  </si>
  <si>
    <t>fr</t>
  </si>
  <si>
    <t>Fa</t>
  </si>
  <si>
    <t>Fr</t>
  </si>
  <si>
    <t>Bloco</t>
  </si>
  <si>
    <t>Mais</t>
  </si>
  <si>
    <t>Freqüência</t>
  </si>
  <si>
    <t>Estudo de caso Turma 1</t>
  </si>
  <si>
    <t>Altura (cm)</t>
  </si>
  <si>
    <t>Fórmulas</t>
  </si>
  <si>
    <r>
      <t>b)</t>
    </r>
    <r>
      <rPr>
        <b/>
        <sz val="7"/>
        <color rgb="FF000000"/>
        <rFont val="Times New Roman"/>
        <family val="1"/>
      </rPr>
      <t xml:space="preserve">      </t>
    </r>
    <r>
      <rPr>
        <b/>
        <sz val="11"/>
        <color rgb="FF000000"/>
        <rFont val="Calibri"/>
        <family val="2"/>
      </rPr>
      <t>Amplitude total.</t>
    </r>
  </si>
  <si>
    <t>(=máx-mín)</t>
  </si>
  <si>
    <r>
      <t>c)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1"/>
        <color rgb="FF000000"/>
        <rFont val="Calibri"/>
        <family val="2"/>
      </rPr>
      <t>Quantidade de classes.</t>
    </r>
  </si>
  <si>
    <t>(=1+3,3*LOG(n))</t>
  </si>
  <si>
    <r>
      <t>d)</t>
    </r>
    <r>
      <rPr>
        <b/>
        <sz val="7"/>
        <color rgb="FF000000"/>
        <rFont val="Times New Roman"/>
        <family val="1"/>
      </rPr>
      <t xml:space="preserve">      </t>
    </r>
    <r>
      <rPr>
        <b/>
        <sz val="11"/>
        <color rgb="FF000000"/>
        <rFont val="Calibri"/>
        <family val="2"/>
      </rPr>
      <t>Amplitude da classe.</t>
    </r>
  </si>
  <si>
    <t>(=amplitude/qt de classes)</t>
  </si>
  <si>
    <t>e)</t>
  </si>
  <si>
    <t>Classe</t>
  </si>
  <si>
    <t>Intervalo de classes</t>
  </si>
  <si>
    <t>Frequência (fa)</t>
  </si>
  <si>
    <t>Modo de fazer a frequência: seleciona toda a coluna, dar um F2, no cursor piscando colocar =frequencia(dados de altura; dados do intervalo de classe. Pra finalizar dar ctrl+shift+enter</t>
  </si>
  <si>
    <t>Como fazer o gráfico: selecionar a coluna de classe de frequência -&gt; ir em inserir -&gt; escolher o gráfico de hitograma</t>
  </si>
  <si>
    <t>Como fazer pela função do excel: na aba dados, ir em análise de dados -&gt; histograma -&gt; intervalo de entrada selecionar os dados de altura -&gt; intervalo de blocos selecionar a coluna de blocos -&gt; intervalo de saída selecionar a célula que quer que o resultado apareça -&gt; marcar as caixinhas de pareto e a resultado do gráfico.</t>
  </si>
  <si>
    <t>a) Rol:</t>
  </si>
  <si>
    <t>f)	Elaborar no mínimo 3 tipos diferentes de gráficos.</t>
  </si>
  <si>
    <t>MÉDIA</t>
  </si>
  <si>
    <t>MEDIANA</t>
  </si>
  <si>
    <t>MODA</t>
  </si>
  <si>
    <t>ALUNO: DANIEL GOMIG</t>
  </si>
  <si>
    <t>DESVIO MÉDIO</t>
  </si>
  <si>
    <t>DESVIO PADRÃO</t>
  </si>
  <si>
    <t>VARIÂNCIA</t>
  </si>
  <si>
    <t>COEFICIENTE DE 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</si>
</sst>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7"/>
      <color rgb="FF000000"/>
      <name val="Times New Roman"/>
      <family val="1"/>
    </font>
    <font>
      <sz val="11"/>
      <color rgb="FF000000"/>
      <name val="Calibri"/>
      <family val="2"/>
    </font>
    <font>
      <i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2" fontId="2" fillId="0" borderId="1" xfId="0" applyNumberFormat="1" applyFont="1" applyBorder="1"/>
    <xf numFmtId="9" fontId="2" fillId="0" borderId="1" xfId="1" applyFont="1" applyBorder="1"/>
    <xf numFmtId="0" fontId="4" fillId="0" borderId="1" xfId="0" applyFont="1" applyBorder="1"/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5" fillId="0" borderId="3" xfId="0" applyFont="1" applyBorder="1" applyAlignment="1">
      <alignment horizontal="center"/>
    </xf>
    <xf numFmtId="0" fontId="7" fillId="0" borderId="0" xfId="0" applyFont="1"/>
    <xf numFmtId="0" fontId="6" fillId="0" borderId="4" xfId="0" applyFont="1" applyBorder="1"/>
    <xf numFmtId="0" fontId="8" fillId="0" borderId="0" xfId="0" applyFont="1" applyAlignment="1">
      <alignment horizontal="left" vertical="center" indent="4"/>
    </xf>
    <xf numFmtId="0" fontId="0" fillId="0" borderId="0" xfId="0" applyAlignment="1">
      <alignment horizontal="center"/>
    </xf>
    <xf numFmtId="0" fontId="7" fillId="0" borderId="5" xfId="0" applyFont="1" applyBorder="1"/>
    <xf numFmtId="2" fontId="0" fillId="0" borderId="0" xfId="0" applyNumberFormat="1" applyAlignment="1">
      <alignment horizontal="center"/>
    </xf>
    <xf numFmtId="0" fontId="7" fillId="0" borderId="6" xfId="0" applyFont="1" applyBorder="1"/>
    <xf numFmtId="0" fontId="7" fillId="0" borderId="0" xfId="0" applyFont="1" applyAlignment="1">
      <alignment horizontal="justify" vertical="justify" wrapText="1"/>
    </xf>
    <xf numFmtId="0" fontId="10" fillId="0" borderId="0" xfId="0" applyFont="1" applyAlignment="1">
      <alignment horizontal="left" vertical="center" indent="4"/>
    </xf>
    <xf numFmtId="0" fontId="6" fillId="3" borderId="1" xfId="0" applyFont="1" applyFill="1" applyBorder="1"/>
    <xf numFmtId="0" fontId="0" fillId="0" borderId="1" xfId="0" applyBorder="1" applyAlignment="1">
      <alignment horizontal="center"/>
    </xf>
    <xf numFmtId="9" fontId="0" fillId="0" borderId="1" xfId="1" applyFont="1" applyBorder="1"/>
    <xf numFmtId="0" fontId="0" fillId="0" borderId="0" xfId="0" applyAlignment="1">
      <alignment horizontal="center" wrapText="1"/>
    </xf>
    <xf numFmtId="0" fontId="11" fillId="0" borderId="7" xfId="0" applyFont="1" applyBorder="1" applyAlignment="1">
      <alignment horizont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horizontal="right"/>
    </xf>
    <xf numFmtId="1" fontId="0" fillId="0" borderId="0" xfId="0" applyNumberFormat="1"/>
    <xf numFmtId="1" fontId="0" fillId="0" borderId="2" xfId="0" applyNumberFormat="1" applyBorder="1"/>
    <xf numFmtId="0" fontId="0" fillId="0" borderId="0" xfId="0" applyAlignment="1">
      <alignment horizontal="left" vertical="center" indent="5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0" fontId="0" fillId="0" borderId="1" xfId="0" applyBorder="1" applyAlignment="1"/>
    <xf numFmtId="0" fontId="2" fillId="0" borderId="1" xfId="0" applyFont="1" applyBorder="1"/>
    <xf numFmtId="0" fontId="0" fillId="0" borderId="1" xfId="0" applyBorder="1"/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left" vertical="justify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0" borderId="8" xfId="0" applyBorder="1" applyAlignment="1"/>
    <xf numFmtId="0" fontId="7" fillId="0" borderId="1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Exemplo!$H$30:$H$35</c:f>
              <c:numCache>
                <c:formatCode>0.00</c:formatCode>
                <c:ptCount val="6"/>
                <c:pt idx="0">
                  <c:v>4.5106817479293513</c:v>
                </c:pt>
                <c:pt idx="1">
                  <c:v>5.0213634958587017</c:v>
                </c:pt>
                <c:pt idx="2">
                  <c:v>5.532045243788053</c:v>
                </c:pt>
                <c:pt idx="3">
                  <c:v>6.0427269917174034</c:v>
                </c:pt>
                <c:pt idx="4">
                  <c:v>6.5534087396467546</c:v>
                </c:pt>
                <c:pt idx="5">
                  <c:v>7.0640904875761059</c:v>
                </c:pt>
              </c:numCache>
            </c:numRef>
          </c:cat>
          <c:val>
            <c:numRef>
              <c:f>Exemplo!$I$30:$I$35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0-4D30-AD85-520D9DF7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5680"/>
        <c:axId val="44669520"/>
      </c:barChart>
      <c:catAx>
        <c:axId val="4466568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69520"/>
        <c:crosses val="autoZero"/>
        <c:auto val="1"/>
        <c:lblAlgn val="ctr"/>
        <c:lblOffset val="100"/>
        <c:noMultiLvlLbl val="0"/>
      </c:catAx>
      <c:valAx>
        <c:axId val="446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Freqüência</c:v>
          </c:tx>
          <c:invertIfNegative val="0"/>
          <c:cat>
            <c:strRef>
              <c:f>Exemplo!$H$40:$H$46</c:f>
              <c:strCache>
                <c:ptCount val="7"/>
                <c:pt idx="0">
                  <c:v>4,51</c:v>
                </c:pt>
                <c:pt idx="1">
                  <c:v>5,02</c:v>
                </c:pt>
                <c:pt idx="2">
                  <c:v>5,53</c:v>
                </c:pt>
                <c:pt idx="3">
                  <c:v>6,04</c:v>
                </c:pt>
                <c:pt idx="4">
                  <c:v>6,55</c:v>
                </c:pt>
                <c:pt idx="5">
                  <c:v>7,06</c:v>
                </c:pt>
                <c:pt idx="6">
                  <c:v>Mais</c:v>
                </c:pt>
              </c:strCache>
            </c:strRef>
          </c:cat>
          <c:val>
            <c:numRef>
              <c:f>Exemplo!$I$40:$I$46</c:f>
              <c:numCache>
                <c:formatCode>General</c:formatCode>
                <c:ptCount val="7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5-4FF4-8C9F-5C8ECFC25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35696"/>
        <c:axId val="176038096"/>
      </c:barChart>
      <c:catAx>
        <c:axId val="17603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Bloco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038096"/>
        <c:crosses val="autoZero"/>
        <c:auto val="1"/>
        <c:lblAlgn val="ctr"/>
        <c:lblOffset val="100"/>
        <c:noMultiLvlLbl val="0"/>
      </c:catAx>
      <c:valAx>
        <c:axId val="176038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Freqüência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03569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 alturas'!$I$3:$J$9</c:f>
              <c:strCache>
                <c:ptCount val="7"/>
                <c:pt idx="0">
                  <c:v>160</c:v>
                </c:pt>
                <c:pt idx="1">
                  <c:v>166</c:v>
                </c:pt>
                <c:pt idx="2">
                  <c:v>172</c:v>
                </c:pt>
                <c:pt idx="3">
                  <c:v>178</c:v>
                </c:pt>
                <c:pt idx="4">
                  <c:v>184</c:v>
                </c:pt>
                <c:pt idx="5">
                  <c:v>189</c:v>
                </c:pt>
                <c:pt idx="6">
                  <c:v>195</c:v>
                </c:pt>
              </c:strCache>
            </c:strRef>
          </c:cat>
          <c:val>
            <c:numRef>
              <c:f>'Exercício alturas'!$K$3:$K$9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14</c:v>
                </c:pt>
                <c:pt idx="4">
                  <c:v>19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5-4DD2-B2A9-A053228E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36464"/>
        <c:axId val="33940304"/>
      </c:barChart>
      <c:catAx>
        <c:axId val="3393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940304"/>
        <c:crosses val="autoZero"/>
        <c:auto val="1"/>
        <c:lblAlgn val="ctr"/>
        <c:lblOffset val="100"/>
        <c:noMultiLvlLbl val="0"/>
      </c:catAx>
      <c:valAx>
        <c:axId val="3394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</a:t>
                </a:r>
              </a:p>
              <a:p>
                <a:pPr>
                  <a:defRPr/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93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Histograma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1859251968503935"/>
          <c:y val="0.27218243945921855"/>
          <c:w val="0.56175114829396322"/>
          <c:h val="0.4418056747645881"/>
        </c:manualLayout>
      </c:layout>
      <c:barChart>
        <c:barDir val="col"/>
        <c:grouping val="clustered"/>
        <c:varyColors val="0"/>
        <c:ser>
          <c:idx val="0"/>
          <c:order val="0"/>
          <c:tx>
            <c:v>Freqüência</c:v>
          </c:tx>
          <c:invertIfNegative val="0"/>
          <c:cat>
            <c:strRef>
              <c:f>'Exercício alturas'!$N$26:$N$33</c:f>
              <c:strCache>
                <c:ptCount val="8"/>
                <c:pt idx="0">
                  <c:v>160</c:v>
                </c:pt>
                <c:pt idx="1">
                  <c:v>166</c:v>
                </c:pt>
                <c:pt idx="2">
                  <c:v>172</c:v>
                </c:pt>
                <c:pt idx="3">
                  <c:v>178</c:v>
                </c:pt>
                <c:pt idx="4">
                  <c:v>184</c:v>
                </c:pt>
                <c:pt idx="5">
                  <c:v>189</c:v>
                </c:pt>
                <c:pt idx="6">
                  <c:v>195</c:v>
                </c:pt>
                <c:pt idx="7">
                  <c:v>Mais</c:v>
                </c:pt>
              </c:strCache>
            </c:strRef>
          </c:cat>
          <c:val>
            <c:numRef>
              <c:f>'Exercício alturas'!$O$26:$O$33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14</c:v>
                </c:pt>
                <c:pt idx="4">
                  <c:v>19</c:v>
                </c:pt>
                <c:pt idx="5">
                  <c:v>7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3-44F3-BCF3-A29AC10D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6629392"/>
        <c:axId val="656621232"/>
      </c:barChart>
      <c:catAx>
        <c:axId val="65662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Bloco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621232"/>
        <c:crosses val="autoZero"/>
        <c:auto val="1"/>
        <c:lblAlgn val="ctr"/>
        <c:lblOffset val="100"/>
        <c:noMultiLvlLbl val="0"/>
      </c:catAx>
      <c:valAx>
        <c:axId val="656621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Freqüência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62939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03937007874016"/>
          <c:y val="0"/>
          <c:w val="0.81862729658792655"/>
          <c:h val="0.7459729156964045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 alturas'!$I$3:$J$9</c:f>
              <c:strCache>
                <c:ptCount val="7"/>
                <c:pt idx="0">
                  <c:v>160</c:v>
                </c:pt>
                <c:pt idx="1">
                  <c:v>166</c:v>
                </c:pt>
                <c:pt idx="2">
                  <c:v>172</c:v>
                </c:pt>
                <c:pt idx="3">
                  <c:v>178</c:v>
                </c:pt>
                <c:pt idx="4">
                  <c:v>184</c:v>
                </c:pt>
                <c:pt idx="5">
                  <c:v>189</c:v>
                </c:pt>
                <c:pt idx="6">
                  <c:v>195</c:v>
                </c:pt>
              </c:strCache>
            </c:strRef>
          </c:cat>
          <c:val>
            <c:numRef>
              <c:f>'Exercício alturas'!$K$3:$K$9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14</c:v>
                </c:pt>
                <c:pt idx="4">
                  <c:v>19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C-44E2-B8ED-D390023C2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2442768"/>
        <c:axId val="682450448"/>
      </c:barChart>
      <c:catAx>
        <c:axId val="682442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450448"/>
        <c:crosses val="autoZero"/>
        <c:auto val="1"/>
        <c:lblAlgn val="ctr"/>
        <c:lblOffset val="100"/>
        <c:noMultiLvlLbl val="0"/>
      </c:catAx>
      <c:valAx>
        <c:axId val="68245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4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Diagrama de caixa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Diagrama de caixa</a:t>
          </a:r>
        </a:p>
      </cx:txPr>
    </cx:title>
    <cx:plotArea>
      <cx:plotAreaRegion>
        <cx:series layoutId="boxWhisker" uniqueId="{203B5261-CFFB-43CA-A537-EBE96A44778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14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3.png"/><Relationship Id="rId5" Type="http://schemas.openxmlformats.org/officeDocument/2006/relationships/customXml" Target="../ink/ink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279400</xdr:colOff>
      <xdr:row>22</xdr:row>
      <xdr:rowOff>128587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B203E1E-096D-6B23-33A5-F2821F3D6EEE}"/>
            </a:ext>
          </a:extLst>
        </xdr:cNvPr>
        <xdr:cNvSpPr/>
      </xdr:nvSpPr>
      <xdr:spPr>
        <a:xfrm>
          <a:off x="1828800" y="365760"/>
          <a:ext cx="6985000" cy="3786187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defRPr/>
          </a:pPr>
          <a:r>
            <a:rPr lang="pt-BR" sz="2400"/>
            <a:t>Um dentista anotou o número de clientes atendidos por dia durante um período de 30 dias e obteve os seguintes dados:</a:t>
          </a:r>
        </a:p>
        <a:p>
          <a:pPr algn="just">
            <a:defRPr/>
          </a:pPr>
          <a:endParaRPr lang="pt-BR" sz="2400"/>
        </a:p>
        <a:p>
          <a:pPr marL="457200" indent="-457200" algn="just">
            <a:buFontTx/>
            <a:buAutoNum type="arabicPlain" startAt="4"/>
            <a:defRPr/>
          </a:pPr>
          <a:r>
            <a:rPr lang="pt-BR" sz="2400"/>
            <a:t>6  7  4  4  5  4  6  5  5  4  5  7  5  5  4  7  5  6  5  4  5  5  6  5  7  4  6  6  7</a:t>
          </a:r>
        </a:p>
        <a:p>
          <a:pPr marL="457200" indent="-457200" algn="just">
            <a:buFontTx/>
            <a:buAutoNum type="arabicPlain" startAt="4"/>
            <a:defRPr/>
          </a:pPr>
          <a:endParaRPr lang="pt-BR" sz="2400"/>
        </a:p>
        <a:p>
          <a:pPr algn="just">
            <a:defRPr/>
          </a:pPr>
          <a:r>
            <a:rPr lang="pt-BR" sz="2400"/>
            <a:t>Organize esses dados em forma de uma tabela de frequência.</a:t>
          </a:r>
        </a:p>
        <a:p>
          <a:pPr marL="457200" indent="-457200" algn="just">
            <a:buFontTx/>
            <a:buAutoNum type="arabicPlain" startAt="4"/>
            <a:defRPr/>
          </a:pPr>
          <a:endParaRPr lang="pt-BR" sz="2400"/>
        </a:p>
      </xdr:txBody>
    </xdr:sp>
    <xdr:clientData/>
  </xdr:twoCellAnchor>
  <xdr:twoCellAnchor editAs="oneCell">
    <xdr:from>
      <xdr:col>14</xdr:col>
      <xdr:colOff>397780</xdr:colOff>
      <xdr:row>5</xdr:row>
      <xdr:rowOff>121920</xdr:rowOff>
    </xdr:from>
    <xdr:to>
      <xdr:col>22</xdr:col>
      <xdr:colOff>158431</xdr:colOff>
      <xdr:row>9</xdr:row>
      <xdr:rowOff>150088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1DCF540-D570-7FF8-A459-2CDF900B6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2180" y="1036320"/>
          <a:ext cx="4637451" cy="759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373379</xdr:colOff>
      <xdr:row>10</xdr:row>
      <xdr:rowOff>82772</xdr:rowOff>
    </xdr:from>
    <xdr:to>
      <xdr:col>22</xdr:col>
      <xdr:colOff>134030</xdr:colOff>
      <xdr:row>22</xdr:row>
      <xdr:rowOff>180684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381666C-A07C-3A23-9718-73A320E54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7779" y="1911572"/>
          <a:ext cx="4637451" cy="2292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312420</xdr:colOff>
      <xdr:row>24</xdr:row>
      <xdr:rowOff>186690</xdr:rowOff>
    </xdr:from>
    <xdr:to>
      <xdr:col>20</xdr:col>
      <xdr:colOff>7620</xdr:colOff>
      <xdr:row>36</xdr:row>
      <xdr:rowOff>186690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17032A2D-A5A7-5774-89EA-C582F85D0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388620</xdr:colOff>
      <xdr:row>37</xdr:row>
      <xdr:rowOff>99060</xdr:rowOff>
    </xdr:from>
    <xdr:to>
      <xdr:col>18</xdr:col>
      <xdr:colOff>388620</xdr:colOff>
      <xdr:row>47</xdr:row>
      <xdr:rowOff>83820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C3DF8198-03B7-49F7-0D99-B7C41FA68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112395</xdr:colOff>
      <xdr:row>2</xdr:row>
      <xdr:rowOff>80010</xdr:rowOff>
    </xdr:from>
    <xdr:to>
      <xdr:col>29</xdr:col>
      <xdr:colOff>127635</xdr:colOff>
      <xdr:row>14</xdr:row>
      <xdr:rowOff>55245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73CBF3-6AB5-FA6B-E9CD-455E4A1D7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110490</xdr:colOff>
      <xdr:row>14</xdr:row>
      <xdr:rowOff>66675</xdr:rowOff>
    </xdr:from>
    <xdr:to>
      <xdr:col>25</xdr:col>
      <xdr:colOff>110490</xdr:colOff>
      <xdr:row>24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538516-287D-5028-2035-5A707319C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588645</xdr:colOff>
      <xdr:row>24</xdr:row>
      <xdr:rowOff>169545</xdr:rowOff>
    </xdr:from>
    <xdr:to>
      <xdr:col>26</xdr:col>
      <xdr:colOff>283845</xdr:colOff>
      <xdr:row>38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0C8579-BC74-3495-ABFE-87CCA95F0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51435</xdr:colOff>
      <xdr:row>40</xdr:row>
      <xdr:rowOff>116205</xdr:rowOff>
    </xdr:from>
    <xdr:to>
      <xdr:col>26</xdr:col>
      <xdr:colOff>356235</xdr:colOff>
      <xdr:row>54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3C91C147-8E40-4083-0303-FED8DE6A6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24435" y="8174355"/>
              <a:ext cx="4572000" cy="2769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344160</xdr:colOff>
      <xdr:row>20</xdr:row>
      <xdr:rowOff>54480</xdr:rowOff>
    </xdr:from>
    <xdr:to>
      <xdr:col>19</xdr:col>
      <xdr:colOff>423360</xdr:colOff>
      <xdr:row>20</xdr:row>
      <xdr:rowOff>102360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FC352134-EEA9-5EF1-18E5-1A1FD4E3EB43}"/>
                </a:ext>
              </a:extLst>
            </xdr14:cNvPr>
            <xdr14:cNvContentPartPr/>
          </xdr14:nvContentPartPr>
          <xdr14:nvPr macro=""/>
          <xdr14:xfrm>
            <a:off x="12322800" y="4032120"/>
            <a:ext cx="79200" cy="4788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FC352134-EEA9-5EF1-18E5-1A1FD4E3EB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318480" y="4027800"/>
              <a:ext cx="87840" cy="56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23:40:27.90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0 336,'0'22'640,"0"13"17,15-26-225,9 13-240,-9-9-80,9-13-48,-1 0-64,16 0-48,-23 0-128,7 9-256,-7-9-112,7 22-17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C9BF-B272-42B1-9545-AC589F9516E7}">
  <dimension ref="D24:L54"/>
  <sheetViews>
    <sheetView workbookViewId="0">
      <selection activeCell="F39" sqref="F39"/>
    </sheetView>
  </sheetViews>
  <sheetFormatPr defaultRowHeight="15" x14ac:dyDescent="0.25"/>
  <cols>
    <col min="8" max="8" width="9.85546875" customWidth="1"/>
    <col min="9" max="9" width="12.28515625" customWidth="1"/>
  </cols>
  <sheetData>
    <row r="24" spans="4:12" ht="18.75" x14ac:dyDescent="0.3">
      <c r="F24" s="34" t="s">
        <v>2</v>
      </c>
      <c r="G24" s="35"/>
      <c r="H24" s="35"/>
      <c r="I24" s="2">
        <f>D54-D25</f>
        <v>3</v>
      </c>
    </row>
    <row r="25" spans="4:12" ht="18.75" x14ac:dyDescent="0.3">
      <c r="D25" s="1">
        <v>4</v>
      </c>
      <c r="F25" s="34" t="s">
        <v>3</v>
      </c>
      <c r="G25" s="35"/>
      <c r="H25" s="35"/>
      <c r="I25" s="2">
        <f>1+3.3*LOG(G27)</f>
        <v>5.8745001405748853</v>
      </c>
      <c r="J25">
        <v>6</v>
      </c>
    </row>
    <row r="26" spans="4:12" ht="18.75" x14ac:dyDescent="0.3">
      <c r="D26" s="1">
        <v>4</v>
      </c>
      <c r="F26" s="34" t="s">
        <v>0</v>
      </c>
      <c r="G26" s="35"/>
      <c r="H26" s="35"/>
      <c r="I26" s="2">
        <f>I24/I25</f>
        <v>0.51068174792935095</v>
      </c>
    </row>
    <row r="27" spans="4:12" ht="18.75" x14ac:dyDescent="0.3">
      <c r="D27" s="1">
        <v>4</v>
      </c>
      <c r="F27" s="1" t="s">
        <v>1</v>
      </c>
      <c r="G27" s="1">
        <f>COUNT(D25:D54)</f>
        <v>30</v>
      </c>
    </row>
    <row r="28" spans="4:12" ht="18.75" x14ac:dyDescent="0.3">
      <c r="D28" s="1">
        <v>4</v>
      </c>
    </row>
    <row r="29" spans="4:12" ht="18.75" x14ac:dyDescent="0.3">
      <c r="D29" s="1">
        <v>4</v>
      </c>
      <c r="G29" s="1"/>
      <c r="H29" s="6" t="s">
        <v>4</v>
      </c>
      <c r="I29" s="6" t="s">
        <v>5</v>
      </c>
      <c r="J29" s="6" t="s">
        <v>6</v>
      </c>
      <c r="K29" s="6" t="s">
        <v>7</v>
      </c>
      <c r="L29" s="6" t="s">
        <v>8</v>
      </c>
    </row>
    <row r="30" spans="4:12" ht="18.75" x14ac:dyDescent="0.3">
      <c r="D30" s="1">
        <v>4</v>
      </c>
      <c r="G30" s="1">
        <v>1</v>
      </c>
      <c r="H30" s="4">
        <f>$D$25+G30*$I$26</f>
        <v>4.5106817479293513</v>
      </c>
      <c r="I30" s="2">
        <f t="array" ref="I30:I35">FREQUENCY(D25:D54,H30:H35)</f>
        <v>8</v>
      </c>
      <c r="J30" s="5">
        <f>I30/$G$27</f>
        <v>0.26666666666666666</v>
      </c>
      <c r="K30" s="2">
        <f>I30</f>
        <v>8</v>
      </c>
      <c r="L30" s="2">
        <f>K30/$K$35</f>
        <v>0.26666666666666666</v>
      </c>
    </row>
    <row r="31" spans="4:12" ht="18.75" x14ac:dyDescent="0.3">
      <c r="D31" s="1">
        <v>4</v>
      </c>
      <c r="G31" s="1">
        <v>2</v>
      </c>
      <c r="H31" s="4">
        <f t="shared" ref="H31:H35" si="0">$D$25+G31*$I$26</f>
        <v>5.0213634958587017</v>
      </c>
      <c r="I31" s="2">
        <v>11</v>
      </c>
      <c r="J31" s="5">
        <f t="shared" ref="J31:J35" si="1">I31/$G$27</f>
        <v>0.36666666666666664</v>
      </c>
      <c r="K31" s="2">
        <f>I31+K30</f>
        <v>19</v>
      </c>
      <c r="L31" s="2">
        <f t="shared" ref="L31:L35" si="2">K31/$K$35</f>
        <v>0.6333333333333333</v>
      </c>
    </row>
    <row r="32" spans="4:12" ht="18.75" x14ac:dyDescent="0.3">
      <c r="D32" s="1">
        <v>4</v>
      </c>
      <c r="G32" s="1">
        <v>3</v>
      </c>
      <c r="H32" s="4">
        <f t="shared" si="0"/>
        <v>5.532045243788053</v>
      </c>
      <c r="I32" s="2">
        <v>0</v>
      </c>
      <c r="J32" s="5">
        <f t="shared" si="1"/>
        <v>0</v>
      </c>
      <c r="K32" s="2">
        <f>I32+K31</f>
        <v>19</v>
      </c>
      <c r="L32" s="2">
        <f t="shared" si="2"/>
        <v>0.6333333333333333</v>
      </c>
    </row>
    <row r="33" spans="4:12" ht="18.75" x14ac:dyDescent="0.3">
      <c r="D33" s="1">
        <v>5</v>
      </c>
      <c r="G33" s="1">
        <v>4</v>
      </c>
      <c r="H33" s="4">
        <f t="shared" si="0"/>
        <v>6.0427269917174034</v>
      </c>
      <c r="I33" s="2">
        <v>6</v>
      </c>
      <c r="J33" s="5">
        <f t="shared" si="1"/>
        <v>0.2</v>
      </c>
      <c r="K33" s="2">
        <f>I33+K32</f>
        <v>25</v>
      </c>
      <c r="L33" s="2">
        <f t="shared" si="2"/>
        <v>0.83333333333333337</v>
      </c>
    </row>
    <row r="34" spans="4:12" ht="18.75" x14ac:dyDescent="0.3">
      <c r="D34" s="1">
        <v>5</v>
      </c>
      <c r="G34" s="1">
        <v>5</v>
      </c>
      <c r="H34" s="4">
        <f t="shared" si="0"/>
        <v>6.5534087396467546</v>
      </c>
      <c r="I34" s="2">
        <v>0</v>
      </c>
      <c r="J34" s="5">
        <f t="shared" si="1"/>
        <v>0</v>
      </c>
      <c r="K34" s="2">
        <f>I34+K33</f>
        <v>25</v>
      </c>
      <c r="L34" s="2">
        <f t="shared" si="2"/>
        <v>0.83333333333333337</v>
      </c>
    </row>
    <row r="35" spans="4:12" ht="18.75" x14ac:dyDescent="0.3">
      <c r="D35" s="1">
        <v>5</v>
      </c>
      <c r="G35" s="1">
        <v>6</v>
      </c>
      <c r="H35" s="4">
        <f t="shared" si="0"/>
        <v>7.0640904875761059</v>
      </c>
      <c r="I35" s="2">
        <v>5</v>
      </c>
      <c r="J35" s="5">
        <f t="shared" si="1"/>
        <v>0.16666666666666666</v>
      </c>
      <c r="K35" s="2">
        <f t="shared" ref="K35" si="3">I35+K34</f>
        <v>30</v>
      </c>
      <c r="L35" s="2">
        <f t="shared" si="2"/>
        <v>1</v>
      </c>
    </row>
    <row r="36" spans="4:12" ht="18.75" x14ac:dyDescent="0.3">
      <c r="D36" s="1">
        <v>5</v>
      </c>
      <c r="G36" s="1"/>
      <c r="H36" s="1"/>
      <c r="I36" s="1"/>
      <c r="J36" s="1"/>
      <c r="K36" s="1"/>
    </row>
    <row r="37" spans="4:12" ht="18.75" x14ac:dyDescent="0.3">
      <c r="D37" s="1">
        <v>5</v>
      </c>
    </row>
    <row r="38" spans="4:12" ht="19.5" thickBot="1" x14ac:dyDescent="0.35">
      <c r="D38" s="1">
        <v>5</v>
      </c>
    </row>
    <row r="39" spans="4:12" ht="18.75" x14ac:dyDescent="0.3">
      <c r="D39" s="1">
        <v>5</v>
      </c>
      <c r="H39" s="10" t="s">
        <v>9</v>
      </c>
      <c r="I39" s="10" t="s">
        <v>11</v>
      </c>
      <c r="J39" s="10" t="s">
        <v>9</v>
      </c>
      <c r="K39" s="10" t="s">
        <v>11</v>
      </c>
    </row>
    <row r="40" spans="4:12" ht="18.75" x14ac:dyDescent="0.3">
      <c r="D40" s="1">
        <v>5</v>
      </c>
      <c r="H40" s="7">
        <v>4.5106817479293513</v>
      </c>
      <c r="I40">
        <v>8</v>
      </c>
      <c r="J40" s="7">
        <v>5.0213634958587017</v>
      </c>
      <c r="K40">
        <v>11</v>
      </c>
    </row>
    <row r="41" spans="4:12" ht="18.75" x14ac:dyDescent="0.3">
      <c r="D41" s="1">
        <v>5</v>
      </c>
      <c r="H41" s="7">
        <v>5.0213634958587017</v>
      </c>
      <c r="I41">
        <v>11</v>
      </c>
      <c r="J41" s="7">
        <v>4.5106817479293513</v>
      </c>
      <c r="K41">
        <v>8</v>
      </c>
    </row>
    <row r="42" spans="4:12" ht="18.75" x14ac:dyDescent="0.3">
      <c r="D42" s="1">
        <v>5</v>
      </c>
      <c r="H42" s="7">
        <v>5.532045243788053</v>
      </c>
      <c r="I42">
        <v>0</v>
      </c>
      <c r="J42" s="7">
        <v>6.0427269917174034</v>
      </c>
      <c r="K42">
        <v>6</v>
      </c>
    </row>
    <row r="43" spans="4:12" ht="18.75" x14ac:dyDescent="0.3">
      <c r="D43" s="1">
        <v>5</v>
      </c>
      <c r="H43" s="7">
        <v>6.0427269917174034</v>
      </c>
      <c r="I43">
        <v>6</v>
      </c>
      <c r="J43" s="7">
        <v>7.0640904875761059</v>
      </c>
      <c r="K43">
        <v>5</v>
      </c>
    </row>
    <row r="44" spans="4:12" ht="18.75" x14ac:dyDescent="0.3">
      <c r="D44" s="1">
        <v>6</v>
      </c>
      <c r="H44" s="7">
        <v>6.5534087396467546</v>
      </c>
      <c r="I44">
        <v>0</v>
      </c>
      <c r="J44" s="7">
        <v>5.532045243788053</v>
      </c>
      <c r="K44">
        <v>0</v>
      </c>
    </row>
    <row r="45" spans="4:12" ht="18.75" x14ac:dyDescent="0.3">
      <c r="D45" s="1">
        <v>6</v>
      </c>
      <c r="H45" s="7">
        <v>7.0640904875761059</v>
      </c>
      <c r="I45">
        <v>5</v>
      </c>
      <c r="J45" s="7">
        <v>6.5534087396467546</v>
      </c>
      <c r="K45">
        <v>0</v>
      </c>
    </row>
    <row r="46" spans="4:12" ht="19.5" thickBot="1" x14ac:dyDescent="0.35">
      <c r="D46" s="1">
        <v>6</v>
      </c>
      <c r="H46" s="8" t="s">
        <v>10</v>
      </c>
      <c r="I46" s="8">
        <v>0</v>
      </c>
      <c r="J46" s="9" t="s">
        <v>10</v>
      </c>
      <c r="K46" s="8">
        <v>0</v>
      </c>
    </row>
    <row r="47" spans="4:12" ht="18.75" x14ac:dyDescent="0.3">
      <c r="D47" s="1">
        <v>6</v>
      </c>
    </row>
    <row r="48" spans="4:12" ht="18.75" x14ac:dyDescent="0.3">
      <c r="D48" s="1">
        <v>6</v>
      </c>
    </row>
    <row r="49" spans="4:4" ht="18.75" x14ac:dyDescent="0.3">
      <c r="D49" s="1">
        <v>6</v>
      </c>
    </row>
    <row r="50" spans="4:4" ht="18.75" x14ac:dyDescent="0.3">
      <c r="D50" s="1">
        <v>7</v>
      </c>
    </row>
    <row r="51" spans="4:4" ht="18.75" x14ac:dyDescent="0.3">
      <c r="D51" s="1">
        <v>7</v>
      </c>
    </row>
    <row r="52" spans="4:4" ht="18.75" x14ac:dyDescent="0.3">
      <c r="D52" s="1">
        <v>7</v>
      </c>
    </row>
    <row r="53" spans="4:4" ht="18.75" x14ac:dyDescent="0.3">
      <c r="D53" s="1">
        <v>7</v>
      </c>
    </row>
    <row r="54" spans="4:4" ht="18.75" x14ac:dyDescent="0.3">
      <c r="D54" s="1">
        <v>7</v>
      </c>
    </row>
  </sheetData>
  <sortState xmlns:xlrd2="http://schemas.microsoft.com/office/spreadsheetml/2017/richdata2" ref="J40:K46">
    <sortCondition descending="1" ref="K40"/>
  </sortState>
  <mergeCells count="3">
    <mergeCell ref="F24:H24"/>
    <mergeCell ref="F25:H25"/>
    <mergeCell ref="F26:H2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FE38-DB23-4026-A0E8-C71AA820B58E}">
  <dimension ref="A1:V70"/>
  <sheetViews>
    <sheetView tabSelected="1" workbookViewId="0">
      <selection activeCell="L12" sqref="L12"/>
    </sheetView>
  </sheetViews>
  <sheetFormatPr defaultRowHeight="15" x14ac:dyDescent="0.25"/>
  <cols>
    <col min="8" max="8" width="25.5703125" customWidth="1"/>
    <col min="9" max="9" width="21.5703125" customWidth="1"/>
    <col min="10" max="10" width="10.140625" customWidth="1"/>
    <col min="11" max="11" width="11" customWidth="1"/>
  </cols>
  <sheetData>
    <row r="1" spans="1:22" ht="15.75" x14ac:dyDescent="0.25">
      <c r="A1" s="38" t="s">
        <v>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22" ht="15.75" x14ac:dyDescent="0.25">
      <c r="G2" t="s">
        <v>21</v>
      </c>
      <c r="H2" s="20" t="s">
        <v>22</v>
      </c>
      <c r="I2" s="39" t="s">
        <v>23</v>
      </c>
      <c r="J2" s="39"/>
      <c r="K2" s="20" t="s">
        <v>24</v>
      </c>
      <c r="L2" s="20" t="s">
        <v>6</v>
      </c>
      <c r="M2" s="20" t="s">
        <v>7</v>
      </c>
      <c r="N2" s="20" t="s">
        <v>8</v>
      </c>
    </row>
    <row r="3" spans="1:22" ht="15.75" x14ac:dyDescent="0.25">
      <c r="A3" t="s">
        <v>28</v>
      </c>
      <c r="B3" s="11" t="s">
        <v>13</v>
      </c>
      <c r="H3" s="3">
        <v>1</v>
      </c>
      <c r="I3" s="36">
        <f t="shared" ref="I3:I9" si="0">$B$4+H3*$R$7</f>
        <v>159.90963407315297</v>
      </c>
      <c r="J3" s="36"/>
      <c r="K3" s="21">
        <f t="array" ref="K3:K9">FREQUENCY(B4:B66,I3:J9)</f>
        <v>3</v>
      </c>
      <c r="L3" s="22">
        <f t="shared" ref="L3:L9" si="1">K3/$P$4</f>
        <v>4.7619047619047616E-2</v>
      </c>
      <c r="M3" s="3">
        <f>K3</f>
        <v>3</v>
      </c>
      <c r="N3" s="22">
        <f t="shared" ref="N3:N9" si="2">M3/$P$4</f>
        <v>4.7619047619047616E-2</v>
      </c>
    </row>
    <row r="4" spans="1:22" ht="18.75" x14ac:dyDescent="0.3">
      <c r="B4" s="25">
        <v>154</v>
      </c>
      <c r="D4" t="s">
        <v>33</v>
      </c>
      <c r="H4" s="3">
        <v>2</v>
      </c>
      <c r="I4" s="36">
        <f t="shared" si="0"/>
        <v>165.81926814630594</v>
      </c>
      <c r="J4" s="36"/>
      <c r="K4" s="21">
        <v>2</v>
      </c>
      <c r="L4" s="22">
        <f t="shared" si="1"/>
        <v>3.1746031746031744E-2</v>
      </c>
      <c r="M4" s="3">
        <f>K4+M3</f>
        <v>5</v>
      </c>
      <c r="N4" s="22">
        <f t="shared" si="2"/>
        <v>7.9365079365079361E-2</v>
      </c>
      <c r="O4" s="27" t="s">
        <v>1</v>
      </c>
      <c r="P4" s="1">
        <f>COUNT(B4:B66)</f>
        <v>63</v>
      </c>
      <c r="T4" s="12" t="s">
        <v>14</v>
      </c>
    </row>
    <row r="5" spans="1:22" ht="15.75" x14ac:dyDescent="0.25">
      <c r="B5" s="25">
        <v>155</v>
      </c>
      <c r="H5" s="3">
        <v>3</v>
      </c>
      <c r="I5" s="36">
        <f t="shared" si="0"/>
        <v>171.72890221945892</v>
      </c>
      <c r="J5" s="36"/>
      <c r="K5" s="21">
        <v>12</v>
      </c>
      <c r="L5" s="22">
        <f t="shared" si="1"/>
        <v>0.19047619047619047</v>
      </c>
      <c r="M5" s="3">
        <f>K5+M4</f>
        <v>17</v>
      </c>
      <c r="N5" s="22">
        <f t="shared" si="2"/>
        <v>0.26984126984126983</v>
      </c>
      <c r="O5" s="13" t="s">
        <v>15</v>
      </c>
      <c r="R5" s="14">
        <f>B66-B4</f>
        <v>41</v>
      </c>
      <c r="T5" s="15" t="s">
        <v>16</v>
      </c>
    </row>
    <row r="6" spans="1:22" ht="15.75" x14ac:dyDescent="0.25">
      <c r="B6" s="25">
        <v>158</v>
      </c>
      <c r="H6" s="3">
        <v>4</v>
      </c>
      <c r="I6" s="36">
        <f t="shared" si="0"/>
        <v>177.63853629261189</v>
      </c>
      <c r="J6" s="36"/>
      <c r="K6" s="21">
        <v>14</v>
      </c>
      <c r="L6" s="22">
        <f t="shared" si="1"/>
        <v>0.22222222222222221</v>
      </c>
      <c r="M6" s="3">
        <f>K6+M5</f>
        <v>31</v>
      </c>
      <c r="N6" s="22">
        <f t="shared" si="2"/>
        <v>0.49206349206349204</v>
      </c>
      <c r="O6" s="13" t="s">
        <v>17</v>
      </c>
      <c r="R6" s="16">
        <f>1+3.3*LOG(P4)</f>
        <v>6.9378238131968191</v>
      </c>
      <c r="S6">
        <v>7</v>
      </c>
      <c r="T6" s="15" t="s">
        <v>18</v>
      </c>
    </row>
    <row r="7" spans="1:22" ht="15.75" x14ac:dyDescent="0.25">
      <c r="B7" s="25">
        <v>163</v>
      </c>
      <c r="H7" s="3">
        <v>5</v>
      </c>
      <c r="I7" s="36">
        <f t="shared" si="0"/>
        <v>183.54817036576486</v>
      </c>
      <c r="J7" s="36"/>
      <c r="K7" s="21">
        <v>19</v>
      </c>
      <c r="L7" s="22">
        <f t="shared" si="1"/>
        <v>0.30158730158730157</v>
      </c>
      <c r="M7" s="3">
        <f>K7+M6</f>
        <v>50</v>
      </c>
      <c r="N7" s="22">
        <f t="shared" si="2"/>
        <v>0.79365079365079361</v>
      </c>
      <c r="O7" s="13" t="s">
        <v>19</v>
      </c>
      <c r="R7" s="16">
        <f>R5/R6</f>
        <v>5.9096340731529722</v>
      </c>
      <c r="T7" s="17" t="s">
        <v>20</v>
      </c>
    </row>
    <row r="8" spans="1:22" ht="15.75" x14ac:dyDescent="0.25">
      <c r="B8" s="25">
        <v>163</v>
      </c>
      <c r="H8" s="3">
        <v>6</v>
      </c>
      <c r="I8" s="36">
        <f t="shared" si="0"/>
        <v>189.45780443891783</v>
      </c>
      <c r="J8" s="36"/>
      <c r="K8" s="21">
        <v>7</v>
      </c>
      <c r="L8" s="22">
        <f t="shared" si="1"/>
        <v>0.1111111111111111</v>
      </c>
      <c r="M8" s="3">
        <f>K8+M7</f>
        <v>57</v>
      </c>
      <c r="N8" s="22">
        <f t="shared" si="2"/>
        <v>0.90476190476190477</v>
      </c>
    </row>
    <row r="9" spans="1:22" ht="15.75" x14ac:dyDescent="0.25">
      <c r="B9" s="25">
        <v>166</v>
      </c>
      <c r="H9" s="3">
        <v>7</v>
      </c>
      <c r="I9" s="36">
        <f t="shared" si="0"/>
        <v>195.36743851207081</v>
      </c>
      <c r="J9" s="36"/>
      <c r="K9" s="21">
        <v>6</v>
      </c>
      <c r="L9" s="22">
        <f t="shared" si="1"/>
        <v>9.5238095238095233E-2</v>
      </c>
      <c r="M9" s="3">
        <f t="shared" ref="M9" si="3">K9+M8</f>
        <v>63</v>
      </c>
      <c r="N9" s="22">
        <f t="shared" si="2"/>
        <v>1</v>
      </c>
      <c r="S9" s="18"/>
      <c r="T9" s="18"/>
      <c r="U9" s="18"/>
      <c r="V9" s="18"/>
    </row>
    <row r="10" spans="1:22" ht="15.75" x14ac:dyDescent="0.25">
      <c r="B10" s="25">
        <v>167</v>
      </c>
      <c r="G10" s="19"/>
      <c r="O10" s="40" t="s">
        <v>25</v>
      </c>
      <c r="P10" s="41"/>
      <c r="Q10" s="41"/>
      <c r="R10" s="41"/>
      <c r="S10" s="41"/>
      <c r="T10" s="41"/>
      <c r="U10" s="41"/>
      <c r="V10" s="41"/>
    </row>
    <row r="11" spans="1:22" ht="15.75" x14ac:dyDescent="0.25">
      <c r="B11" s="25">
        <v>168</v>
      </c>
      <c r="O11" s="42"/>
      <c r="P11" s="41"/>
      <c r="Q11" s="41"/>
      <c r="R11" s="41"/>
      <c r="S11" s="41"/>
      <c r="T11" s="41"/>
      <c r="U11" s="41"/>
      <c r="V11" s="41"/>
    </row>
    <row r="12" spans="1:22" ht="15.75" x14ac:dyDescent="0.25">
      <c r="B12" s="25">
        <v>170</v>
      </c>
      <c r="H12" s="32" t="s">
        <v>30</v>
      </c>
      <c r="I12" s="33">
        <f>AVERAGE(B4:B66)</f>
        <v>176.8095238095238</v>
      </c>
      <c r="S12" s="23"/>
      <c r="T12" s="23"/>
      <c r="U12" s="23"/>
      <c r="V12" s="23"/>
    </row>
    <row r="13" spans="1:22" ht="15.75" x14ac:dyDescent="0.25">
      <c r="B13" s="25">
        <v>170</v>
      </c>
      <c r="H13" s="32" t="s">
        <v>31</v>
      </c>
      <c r="I13" s="33">
        <f>MEDIAN(B4:B66)</f>
        <v>178</v>
      </c>
      <c r="P13" s="43" t="s">
        <v>26</v>
      </c>
      <c r="Q13" s="41"/>
      <c r="R13" s="41"/>
      <c r="S13" s="41"/>
      <c r="T13" s="23"/>
      <c r="U13" s="23"/>
      <c r="V13" s="23"/>
    </row>
    <row r="14" spans="1:22" ht="15.75" x14ac:dyDescent="0.25">
      <c r="B14" s="25">
        <v>170</v>
      </c>
      <c r="H14" s="32" t="s">
        <v>32</v>
      </c>
      <c r="I14" s="46">
        <f>MODE(B4:B66)</f>
        <v>180</v>
      </c>
      <c r="P14" s="42"/>
      <c r="Q14" s="41"/>
      <c r="R14" s="41"/>
      <c r="S14" s="41"/>
      <c r="T14" s="23"/>
      <c r="U14" s="23"/>
      <c r="V14" s="23"/>
    </row>
    <row r="15" spans="1:22" ht="15.75" x14ac:dyDescent="0.25">
      <c r="B15" s="25">
        <v>170</v>
      </c>
      <c r="H15" s="45" t="s">
        <v>34</v>
      </c>
      <c r="I15" s="31">
        <f>AVEDEV(B4:B66)</f>
        <v>6.7392290249433113</v>
      </c>
      <c r="J15" s="31"/>
      <c r="P15" s="42"/>
      <c r="Q15" s="41"/>
      <c r="R15" s="41"/>
      <c r="S15" s="41"/>
    </row>
    <row r="16" spans="1:22" ht="15.75" x14ac:dyDescent="0.25">
      <c r="B16" s="25">
        <v>170</v>
      </c>
      <c r="H16" s="45" t="s">
        <v>35</v>
      </c>
      <c r="I16" s="31">
        <f>_xlfn.STDEV.S(B4:B66)</f>
        <v>8.7138324275852881</v>
      </c>
      <c r="J16" s="31"/>
    </row>
    <row r="17" spans="2:18" ht="15.75" x14ac:dyDescent="0.25">
      <c r="B17" s="25">
        <v>170</v>
      </c>
      <c r="H17" s="45" t="s">
        <v>36</v>
      </c>
      <c r="I17" s="31">
        <f>_xlfn.VAR.S(B4:B66)</f>
        <v>75.930875576036911</v>
      </c>
      <c r="J17" s="31"/>
    </row>
    <row r="18" spans="2:18" ht="15.75" x14ac:dyDescent="0.25">
      <c r="B18" s="25">
        <v>170</v>
      </c>
      <c r="H18" s="45" t="s">
        <v>37</v>
      </c>
      <c r="I18" s="47">
        <f>I16/I12</f>
        <v>4.9283727707861852E-2</v>
      </c>
      <c r="J18" s="47"/>
    </row>
    <row r="19" spans="2:18" ht="15.75" x14ac:dyDescent="0.25">
      <c r="B19" s="25">
        <v>171</v>
      </c>
      <c r="H19" s="44"/>
    </row>
    <row r="20" spans="2:18" ht="15.75" x14ac:dyDescent="0.25">
      <c r="B20" s="25">
        <v>171</v>
      </c>
      <c r="I20" s="37" t="s">
        <v>27</v>
      </c>
      <c r="J20" s="37"/>
      <c r="K20" s="37"/>
      <c r="L20" s="37"/>
      <c r="M20" s="37"/>
      <c r="N20" s="37"/>
      <c r="O20" s="37"/>
      <c r="P20" s="37"/>
      <c r="Q20" s="37"/>
      <c r="R20" s="37"/>
    </row>
    <row r="21" spans="2:18" ht="15.75" x14ac:dyDescent="0.25">
      <c r="B21" s="25">
        <v>172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spans="2:18" ht="15.75" x14ac:dyDescent="0.25">
      <c r="B22" s="25">
        <v>172</v>
      </c>
      <c r="I22" s="24"/>
      <c r="J22" s="24"/>
      <c r="K22" s="24"/>
      <c r="L22" s="24"/>
    </row>
    <row r="23" spans="2:18" ht="15.75" x14ac:dyDescent="0.25">
      <c r="B23" s="25">
        <v>173</v>
      </c>
    </row>
    <row r="24" spans="2:18" ht="16.5" thickBot="1" x14ac:dyDescent="0.3">
      <c r="B24" s="25">
        <v>173</v>
      </c>
    </row>
    <row r="25" spans="2:18" ht="15.75" x14ac:dyDescent="0.25">
      <c r="B25" s="25">
        <v>174</v>
      </c>
      <c r="N25" s="10" t="s">
        <v>9</v>
      </c>
      <c r="O25" s="10" t="s">
        <v>11</v>
      </c>
      <c r="P25" s="10" t="s">
        <v>9</v>
      </c>
      <c r="Q25" s="10" t="s">
        <v>11</v>
      </c>
    </row>
    <row r="26" spans="2:18" ht="15.75" x14ac:dyDescent="0.25">
      <c r="B26" s="25">
        <v>175</v>
      </c>
      <c r="N26" s="28">
        <v>159.90963407315297</v>
      </c>
      <c r="O26">
        <v>3</v>
      </c>
      <c r="P26" s="28">
        <v>183.54817036576486</v>
      </c>
      <c r="Q26">
        <v>19</v>
      </c>
    </row>
    <row r="27" spans="2:18" ht="15.75" x14ac:dyDescent="0.25">
      <c r="B27" s="25">
        <v>175</v>
      </c>
      <c r="N27" s="28">
        <v>165.81926814630594</v>
      </c>
      <c r="O27">
        <v>2</v>
      </c>
      <c r="P27" s="28">
        <v>177.63853629261189</v>
      </c>
      <c r="Q27">
        <v>14</v>
      </c>
    </row>
    <row r="28" spans="2:18" ht="15.75" x14ac:dyDescent="0.25">
      <c r="B28" s="25">
        <v>175</v>
      </c>
      <c r="N28" s="28">
        <v>171.72890221945892</v>
      </c>
      <c r="O28">
        <v>12</v>
      </c>
      <c r="P28" s="28">
        <v>171.72890221945892</v>
      </c>
      <c r="Q28">
        <v>12</v>
      </c>
    </row>
    <row r="29" spans="2:18" ht="15.75" x14ac:dyDescent="0.25">
      <c r="B29" s="25">
        <v>175</v>
      </c>
      <c r="N29" s="28">
        <v>177.63853629261189</v>
      </c>
      <c r="O29">
        <v>14</v>
      </c>
      <c r="P29" s="28">
        <v>189.45780443891783</v>
      </c>
      <c r="Q29">
        <v>7</v>
      </c>
    </row>
    <row r="30" spans="2:18" ht="15.75" x14ac:dyDescent="0.25">
      <c r="B30" s="25">
        <v>175</v>
      </c>
      <c r="N30" s="28">
        <v>183.54817036576486</v>
      </c>
      <c r="O30">
        <v>19</v>
      </c>
      <c r="P30" s="28">
        <v>195.36743851207081</v>
      </c>
      <c r="Q30">
        <v>6</v>
      </c>
    </row>
    <row r="31" spans="2:18" ht="15.75" x14ac:dyDescent="0.25">
      <c r="B31" s="25">
        <v>175</v>
      </c>
      <c r="N31" s="28">
        <v>189.45780443891783</v>
      </c>
      <c r="O31">
        <v>7</v>
      </c>
      <c r="P31" s="28">
        <v>159.90963407315297</v>
      </c>
      <c r="Q31">
        <v>3</v>
      </c>
    </row>
    <row r="32" spans="2:18" ht="15.75" x14ac:dyDescent="0.25">
      <c r="B32" s="25">
        <v>176</v>
      </c>
      <c r="N32" s="28">
        <v>195.36743851207081</v>
      </c>
      <c r="O32">
        <v>6</v>
      </c>
      <c r="P32" s="28">
        <v>165.81926814630594</v>
      </c>
      <c r="Q32">
        <v>2</v>
      </c>
    </row>
    <row r="33" spans="2:17" ht="16.5" thickBot="1" x14ac:dyDescent="0.3">
      <c r="B33" s="25">
        <v>176</v>
      </c>
      <c r="N33" s="8" t="s">
        <v>10</v>
      </c>
      <c r="O33" s="8">
        <v>0</v>
      </c>
      <c r="P33" s="29" t="s">
        <v>10</v>
      </c>
      <c r="Q33" s="8">
        <v>0</v>
      </c>
    </row>
    <row r="34" spans="2:17" ht="15.75" x14ac:dyDescent="0.25">
      <c r="B34" s="25">
        <v>177</v>
      </c>
      <c r="H34" t="s">
        <v>29</v>
      </c>
    </row>
    <row r="35" spans="2:17" ht="15.75" x14ac:dyDescent="0.25">
      <c r="B35" s="25">
        <v>178</v>
      </c>
    </row>
    <row r="36" spans="2:17" ht="15.75" x14ac:dyDescent="0.25">
      <c r="B36" s="25">
        <v>178</v>
      </c>
    </row>
    <row r="37" spans="2:17" ht="15.75" x14ac:dyDescent="0.25">
      <c r="B37" s="25">
        <v>178</v>
      </c>
    </row>
    <row r="38" spans="2:17" ht="15.75" x14ac:dyDescent="0.25">
      <c r="B38" s="25">
        <v>179</v>
      </c>
    </row>
    <row r="39" spans="2:17" ht="15.75" x14ac:dyDescent="0.25">
      <c r="B39" s="25">
        <v>179</v>
      </c>
    </row>
    <row r="40" spans="2:17" ht="15.75" x14ac:dyDescent="0.25">
      <c r="B40" s="25">
        <v>179</v>
      </c>
    </row>
    <row r="41" spans="2:17" ht="15.75" x14ac:dyDescent="0.25">
      <c r="B41" s="25">
        <v>179</v>
      </c>
    </row>
    <row r="42" spans="2:17" ht="15.75" x14ac:dyDescent="0.25">
      <c r="B42" s="25">
        <v>180</v>
      </c>
    </row>
    <row r="43" spans="2:17" ht="15.75" x14ac:dyDescent="0.25">
      <c r="B43" s="25">
        <v>180</v>
      </c>
    </row>
    <row r="44" spans="2:17" ht="15.75" x14ac:dyDescent="0.25">
      <c r="B44" s="25">
        <v>180</v>
      </c>
    </row>
    <row r="45" spans="2:17" ht="15.75" x14ac:dyDescent="0.25">
      <c r="B45" s="25">
        <v>180</v>
      </c>
    </row>
    <row r="46" spans="2:17" ht="15.75" x14ac:dyDescent="0.25">
      <c r="B46" s="25">
        <v>180</v>
      </c>
    </row>
    <row r="47" spans="2:17" ht="15.75" x14ac:dyDescent="0.25">
      <c r="B47" s="25">
        <v>180</v>
      </c>
    </row>
    <row r="48" spans="2:17" ht="15.75" x14ac:dyDescent="0.25">
      <c r="B48" s="25">
        <v>180</v>
      </c>
    </row>
    <row r="49" spans="2:2" ht="15.75" x14ac:dyDescent="0.25">
      <c r="B49" s="25">
        <v>180</v>
      </c>
    </row>
    <row r="50" spans="2:2" ht="15.75" x14ac:dyDescent="0.25">
      <c r="B50" s="25">
        <v>180</v>
      </c>
    </row>
    <row r="51" spans="2:2" ht="15.75" x14ac:dyDescent="0.25">
      <c r="B51" s="25">
        <v>182</v>
      </c>
    </row>
    <row r="52" spans="2:2" ht="15.75" x14ac:dyDescent="0.25">
      <c r="B52" s="25">
        <v>182</v>
      </c>
    </row>
    <row r="53" spans="2:2" ht="15.75" x14ac:dyDescent="0.25">
      <c r="B53" s="25">
        <v>183</v>
      </c>
    </row>
    <row r="54" spans="2:2" ht="15.75" x14ac:dyDescent="0.25">
      <c r="B54" s="25">
        <v>184</v>
      </c>
    </row>
    <row r="55" spans="2:2" ht="15.75" x14ac:dyDescent="0.25">
      <c r="B55" s="25">
        <v>185</v>
      </c>
    </row>
    <row r="56" spans="2:2" ht="15.75" x14ac:dyDescent="0.25">
      <c r="B56" s="25">
        <v>185</v>
      </c>
    </row>
    <row r="57" spans="2:2" ht="15.75" x14ac:dyDescent="0.25">
      <c r="B57" s="25">
        <v>186</v>
      </c>
    </row>
    <row r="58" spans="2:2" ht="15.75" x14ac:dyDescent="0.25">
      <c r="B58" s="25">
        <v>186</v>
      </c>
    </row>
    <row r="59" spans="2:2" ht="15.75" x14ac:dyDescent="0.25">
      <c r="B59" s="25">
        <v>188</v>
      </c>
    </row>
    <row r="60" spans="2:2" ht="15.75" x14ac:dyDescent="0.25">
      <c r="B60" s="25">
        <v>188</v>
      </c>
    </row>
    <row r="61" spans="2:2" ht="15.75" x14ac:dyDescent="0.25">
      <c r="B61" s="25">
        <v>190</v>
      </c>
    </row>
    <row r="62" spans="2:2" ht="15.75" x14ac:dyDescent="0.25">
      <c r="B62" s="25">
        <v>190</v>
      </c>
    </row>
    <row r="63" spans="2:2" ht="15.75" x14ac:dyDescent="0.25">
      <c r="B63" s="25">
        <v>190</v>
      </c>
    </row>
    <row r="64" spans="2:2" ht="15.75" x14ac:dyDescent="0.25">
      <c r="B64" s="25">
        <v>193</v>
      </c>
    </row>
    <row r="65" spans="2:8" ht="15.75" x14ac:dyDescent="0.25">
      <c r="B65" s="25">
        <v>193</v>
      </c>
      <c r="H65" s="30"/>
    </row>
    <row r="66" spans="2:8" ht="15.75" x14ac:dyDescent="0.25">
      <c r="B66" s="25">
        <v>195</v>
      </c>
    </row>
    <row r="67" spans="2:8" ht="15.75" x14ac:dyDescent="0.25">
      <c r="B67" s="26"/>
    </row>
    <row r="68" spans="2:8" ht="15.75" x14ac:dyDescent="0.25">
      <c r="B68" s="26"/>
    </row>
    <row r="69" spans="2:8" ht="15.75" x14ac:dyDescent="0.25">
      <c r="B69" s="26"/>
    </row>
    <row r="70" spans="2:8" ht="15.75" x14ac:dyDescent="0.25">
      <c r="B70" s="26"/>
    </row>
  </sheetData>
  <sortState xmlns:xlrd2="http://schemas.microsoft.com/office/spreadsheetml/2017/richdata2" ref="P26:Q33">
    <sortCondition descending="1" ref="Q26"/>
  </sortState>
  <mergeCells count="13">
    <mergeCell ref="I8:J8"/>
    <mergeCell ref="I9:J9"/>
    <mergeCell ref="I18:J18"/>
    <mergeCell ref="I20:R21"/>
    <mergeCell ref="A1:P1"/>
    <mergeCell ref="I2:J2"/>
    <mergeCell ref="O10:V11"/>
    <mergeCell ref="I3:J3"/>
    <mergeCell ref="I4:J4"/>
    <mergeCell ref="I5:J5"/>
    <mergeCell ref="P13:S15"/>
    <mergeCell ref="I6:J6"/>
    <mergeCell ref="I7:J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</vt:lpstr>
      <vt:lpstr>Exercício alturas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Crisleine Zottis</dc:creator>
  <cp:lastModifiedBy>Daniel Gomig</cp:lastModifiedBy>
  <dcterms:created xsi:type="dcterms:W3CDTF">2026-02-13T23:21:32Z</dcterms:created>
  <dcterms:modified xsi:type="dcterms:W3CDTF">2026-03-06T00:38:37Z</dcterms:modified>
</cp:coreProperties>
</file>